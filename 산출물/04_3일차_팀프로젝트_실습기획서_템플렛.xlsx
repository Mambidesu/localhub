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고은비\팀프로젝트\localhub\산출물\"/>
    </mc:Choice>
  </mc:AlternateContent>
  <xr:revisionPtr revIDLastSave="0" documentId="13_ncr:1_{2B3351E0-8F5D-48AF-B5EC-E282B2D1DE90}" xr6:coauthVersionLast="47" xr6:coauthVersionMax="47" xr10:uidLastSave="{00000000-0000-0000-0000-000000000000}"/>
  <bookViews>
    <workbookView minimized="1" xWindow="6105" yWindow="2055" windowWidth="21600" windowHeight="13860" tabRatio="500" firstSheet="1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externalReferences>
    <externalReference r:id="rId8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6" l="1"/>
  <c r="H6" i="6"/>
  <c r="H7" i="6"/>
  <c r="H8" i="6"/>
  <c r="H9" i="6"/>
  <c r="H10" i="6"/>
  <c r="H11" i="6"/>
  <c r="H12" i="6"/>
  <c r="H13" i="6"/>
  <c r="H15" i="6"/>
  <c r="H16" i="6"/>
  <c r="H17" i="6"/>
  <c r="H18" i="6"/>
  <c r="H19" i="6"/>
  <c r="H20" i="6"/>
  <c r="H21" i="6"/>
  <c r="H22" i="6"/>
  <c r="B10" i="4"/>
  <c r="G6" i="4"/>
  <c r="G7" i="4"/>
  <c r="G8" i="4"/>
  <c r="G9" i="4"/>
  <c r="G10" i="4"/>
  <c r="G11" i="4"/>
  <c r="G12" i="4"/>
  <c r="G13" i="4"/>
  <c r="G14" i="4"/>
  <c r="B6" i="4"/>
  <c r="B7" i="4"/>
  <c r="B8" i="4"/>
  <c r="B9" i="4"/>
  <c r="B11" i="4"/>
  <c r="B12" i="4"/>
  <c r="B13" i="4"/>
  <c r="B14" i="4"/>
  <c r="H5" i="6"/>
</calcChain>
</file>

<file path=xl/sharedStrings.xml><?xml version="1.0" encoding="utf-8"?>
<sst xmlns="http://schemas.openxmlformats.org/spreadsheetml/2006/main" count="356" uniqueCount="288">
  <si>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</si>
  <si>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</si>
  <si>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</si>
  <si>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</si>
  <si>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</si>
  <si>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</si>
  <si>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</si>
  <si>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</si>
  <si>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</si>
  <si>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</si>
  <si>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</si>
  <si>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</si>
  <si>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</si>
  <si>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</si>
  <si>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</si>
  <si>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</si>
  <si>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</si>
  <si>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</si>
  <si>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</si>
  <si>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</si>
  <si>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</si>
  <si>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</si>
  <si>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</si>
  <si>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</si>
  <si>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</si>
  <si>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</si>
  <si>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</si>
  <si>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</si>
  <si>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</si>
  <si>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</si>
  <si>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</si>
  <si>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</si>
  <si>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</si>
  <si>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</si>
  <si>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</si>
  <si>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</si>
  <si>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</si>
  <si>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</si>
  <si>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</si>
  <si>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</si>
  <si>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</si>
  <si>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</si>
  <si>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</si>
  <si>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</si>
  <si>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</si>
  <si>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</si>
  <si>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</si>
  <si>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</si>
  <si>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</si>
  <si>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</si>
  <si>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</si>
  <si>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</si>
  <si>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</si>
  <si>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</si>
  <si>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</si>
  <si>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</si>
  <si>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</si>
  <si>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</si>
  <si>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</si>
  <si>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</si>
  <si>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</si>
  <si>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</si>
  <si>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</si>
  <si>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</si>
  <si>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</si>
  <si>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</si>
  <si>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</si>
  <si>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</si>
  <si>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</si>
  <si>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</si>
  <si>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</si>
  <si>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</si>
  <si>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</si>
  <si>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</si>
  <si>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</si>
  <si>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</si>
  <si>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</si>
  <si>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</si>
  <si>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</si>
  <si>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</si>
  <si>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</si>
  <si>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</si>
  <si>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</si>
  <si>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</si>
  <si>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</si>
  <si>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</si>
  <si>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</si>
  <si>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</si>
  <si>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</si>
  <si>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</si>
  <si>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</si>
  <si>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</si>
  <si>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</si>
  <si>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</si>
  <si>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</si>
  <si>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</si>
  <si>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</si>
  <si>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</si>
  <si>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</si>
  <si>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</si>
  <si>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</si>
  <si>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</si>
  <si>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</si>
  <si>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</si>
  <si>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</si>
  <si>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</si>
  <si>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</si>
  <si>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</si>
  <si>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</si>
  <si>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</si>
  <si>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</si>
  <si>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</si>
  <si>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</si>
  <si>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</si>
  <si>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</si>
  <si>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</si>
  <si>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</si>
  <si>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</si>
  <si>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</si>
  <si>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</si>
  <si>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</si>
  <si>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</si>
  <si>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</si>
  <si>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</si>
  <si>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</si>
  <si>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</si>
  <si>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</si>
  <si>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</si>
  <si>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</si>
  <si>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</si>
  <si>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</si>
  <si>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</si>
  <si>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</si>
  <si>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</si>
  <si>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</si>
  <si>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</si>
  <si>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</si>
  <si>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</si>
  <si>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</si>
  <si>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</si>
  <si>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</si>
  <si>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</si>
  <si>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</si>
  <si>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</si>
  <si>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</si>
  <si>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</si>
  <si>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</si>
  <si>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</si>
  <si>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</si>
  <si>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</si>
  <si>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여행 일정 생성/관리</t>
  </si>
  <si>
    <t>지도 시각화</t>
  </si>
  <si>
    <t>데이터 시각화 대시보드</t>
  </si>
  <si>
    <t>축제 캘린더</t>
  </si>
  <si>
    <t>경로 안내</t>
  </si>
  <si>
    <t>날씨 정보 연동</t>
  </si>
  <si>
    <t>실시간 알림</t>
  </si>
  <si>
    <t>다국어 지원</t>
  </si>
  <si>
    <t>선정</t>
  </si>
  <si>
    <t>보류</t>
  </si>
  <si>
    <t>제외</t>
  </si>
  <si>
    <t>Must Have</t>
  </si>
  <si>
    <t>익명 커뮤니티 게시판(CRUD)</t>
  </si>
  <si>
    <t>Should Have</t>
  </si>
  <si>
    <t>게시글 검색</t>
  </si>
  <si>
    <t>Could Have</t>
  </si>
  <si>
    <t>개발 의뢰 문서(RFP) 근거</t>
  </si>
  <si>
    <t>검토 의견</t>
  </si>
  <si>
    <t>권역 데이터 연동</t>
  </si>
  <si>
    <t>제공된 공공데이터(JSON) 중 1개 권역을 선택하여 프론트엔드에서 직접 연동</t>
  </si>
  <si>
    <t>III. 제공 데이터 활용 및 추가 수집(가)</t>
  </si>
  <si>
    <t>프로젝트의 핵심 기능으로 반드시 선행 구현 필요</t>
  </si>
  <si>
    <t>Vue.js 3 기반 SPA</t>
  </si>
  <si>
    <t>Vue.js 3(Vite)를 이용한 정적 SPA 구조 구현</t>
  </si>
  <si>
    <t>III. 프론트엔드 구현(가)</t>
  </si>
  <si>
    <t>RFP 지정 기술 스택으로 변경 불가</t>
  </si>
  <si>
    <t>게시글 목록, 상세, 작성, 수정, 삭제 기능 구현</t>
  </si>
  <si>
    <t>III. 커뮤니티 기능 구현(다)</t>
  </si>
  <si>
    <t>서비스 핵심 기능이며 평가 대상</t>
  </si>
  <si>
    <t>localStorage 저장 및 비밀번호 검증</t>
  </si>
  <si>
    <t>게시글을 localStorage에 저장하고 수정·삭제 시 비밀번호 확인</t>
  </si>
  <si>
    <t>III. 커뮤니티 기능 구현(나)</t>
  </si>
  <si>
    <t>서버 없이 동작하는 구조의 핵심 요구사항</t>
  </si>
  <si>
    <t>OpenAI 챗봇</t>
  </si>
  <si>
    <t>JSON 데이터를 기반으로 지역 정보를 질의응답하는 챗봇 구현</t>
  </si>
  <si>
    <t>III. 챗봇 기능 구현(가, 나)</t>
  </si>
  <si>
    <t>OpenAI API 연동이 필수 평가 항목</t>
  </si>
  <si>
    <t>채팅 UI</t>
  </si>
  <si>
    <t>대화 히스토리 유지, 모바일 대응, 플로팅 챗봇 UI 구현</t>
  </si>
  <si>
    <t>III. 챗봇 기능 구현(다)</t>
  </si>
  <si>
    <t>사용자 경험(UX)을 고려한 UI 구현 필요</t>
  </si>
  <si>
    <t>Netlify 배포</t>
  </si>
  <si>
    <t>Netlify를 이용한 서비스 배포 및 URL 제출</t>
  </si>
  <si>
    <t>III. 배포 환경 구성(가, 나)</t>
  </si>
  <si>
    <t>최종 결과물 제출을 위한 필수 사항</t>
  </si>
  <si>
    <t>기능 명세서 및 데이터 출처 문서</t>
  </si>
  <si>
    <t>기능 명세서와 데이터 출처·라이선스·수집일을 문서에 포함</t>
  </si>
  <si>
    <t>III. 제공 데이터 활용 및 추가 수집(다), IV 참고1</t>
  </si>
  <si>
    <t>산출물 누락 시 미완료 처리 대상</t>
  </si>
  <si>
    <t>관광지·맛집을 검색하여 일정에 추가하고 날짜별 여행 코스를 생성·관리</t>
  </si>
  <si>
    <t>선택 기능(자율 제안)</t>
  </si>
  <si>
    <t>JSON과 localStorage만으로 구현 가능하며 사용자 체감 효과가 큼</t>
  </si>
  <si>
    <t>관광지·맛집 위치를 지도에 표시하고 권역별 필터 제공</t>
  </si>
  <si>
    <t>IV 참고2. 지도 시각화</t>
  </si>
  <si>
    <t>관광 서비스의 완성도를 높이는 대표 기능</t>
  </si>
  <si>
    <t>게시글 제목 또는 내용 검색 기능 추가</t>
  </si>
  <si>
    <t>IV 참고2. 커뮤니티 게시판 추가 기능</t>
  </si>
  <si>
    <t>구현 난이도가 낮고 활용도가 높음</t>
  </si>
  <si>
    <t>축제 데이터를 달력 형태로 시각화</t>
  </si>
  <si>
    <t>IV 참고2. 축제 캘린더</t>
  </si>
  <si>
    <t>일정 여유가 있을 경우 구현 권장</t>
  </si>
  <si>
    <t>외부 날씨 API를 활용하여 현재 날씨 및 여행 적합 여부 제공</t>
  </si>
  <si>
    <t>IV 참고2. 날씨 정보 연동</t>
  </si>
  <si>
    <t>API 연동은 간단하지만 핵심 기능은 아님</t>
  </si>
  <si>
    <t>IV 참고2. 데이터 시각화 대시보드</t>
  </si>
  <si>
    <t>시각적 효과는 좋으나 우선순위는 낮음</t>
  </si>
  <si>
    <t>소셜 공유</t>
  </si>
  <si>
    <t>링크 복사 및 카카오톡 공유 기능 제공</t>
  </si>
  <si>
    <t>IV 참고2. 소셜 공유 연동</t>
  </si>
  <si>
    <t>발표 시 부가 기능으로 활용 가능</t>
  </si>
  <si>
    <t>Vue i18n 기반 한·영 전환 기능</t>
  </si>
  <si>
    <t>IV 참고2. 다국어 지원</t>
  </si>
  <si>
    <t>구현 가능하지만 MVP 범위에서는 우선순위가 낮음</t>
  </si>
  <si>
    <t>Won't Have</t>
  </si>
  <si>
    <t>여러 관광지를 선택하여 이동 경로를 지도에 표시</t>
  </si>
  <si>
    <t>IV 참고2. 경로 안내</t>
  </si>
  <si>
    <t>지도 API와 경로 탐색 구현 부담이 커 3일 일정에서는 제외</t>
  </si>
  <si>
    <t>새 게시글 실시간 알림 기능</t>
  </si>
  <si>
    <t>IV 참고2. 실시간 알림</t>
  </si>
  <si>
    <t>localStorage 기반에서는 효과가 제한적이며 우선순위가 낮음</t>
  </si>
  <si>
    <t>회원가입 및 로그인</t>
  </si>
  <si>
    <t>III. 커뮤니티 기능 구현(가)</t>
  </si>
  <si>
    <t>RFP에서 익명 커뮤니티를 요구하므로 구현하지 않음</t>
  </si>
  <si>
    <t>백엔드 및 DB 구축</t>
  </si>
  <si>
    <t>서버 및 데이터베이스 구축</t>
  </si>
  <si>
    <t>II. 요청 내용, III. 제공 데이터 활용</t>
  </si>
  <si>
    <t>정적 SPA + localStorage 구조를 준수하기 위해 제외</t>
  </si>
  <si>
    <t>이미지 첨부·좋아요·북마크</t>
  </si>
  <si>
    <t>게시글 이미지 업로드 및 사용자별 상호작용 기능</t>
  </si>
  <si>
    <t>localStorage 용량과 개발 기간을 고려하여 이번 MVP에서는 제외</t>
  </si>
  <si>
    <t>광주</t>
    <phoneticPr fontId="17" type="noConversion"/>
  </si>
  <si>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방문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관광객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주민</t>
    </r>
    <r>
      <rPr>
        <sz val="10"/>
        <color rgb="FF222222"/>
        <rFont val="Noto Sans CJK SC"/>
        <family val="2"/>
      </rPr>
      <t xml:space="preserve"> (</t>
    </r>
    <r>
      <rPr>
        <sz val="10"/>
        <color rgb="FF222222"/>
        <rFont val="돋움"/>
        <family val="2"/>
        <charset val="129"/>
      </rPr>
      <t>회원가입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부담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없는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이용자</t>
    </r>
    <r>
      <rPr>
        <sz val="10"/>
        <color rgb="FF222222"/>
        <rFont val="Noto Sans CJK SC"/>
        <family val="2"/>
      </rPr>
      <t>)</t>
    </r>
    <phoneticPr fontId="17" type="noConversion"/>
  </si>
  <si>
    <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주민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돋움"/>
        <family val="3"/>
        <charset val="129"/>
      </rPr>
      <t>관광객이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공공데이터에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흩어진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여행 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곳에서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찾고 일정을 관리할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공유할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채널이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없음</t>
    </r>
    <phoneticPr fontId="17" type="noConversion"/>
  </si>
  <si>
    <r>
      <t>납기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필수기능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3"/>
        <charset val="129"/>
      </rPr>
      <t>구현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1</t>
    </r>
    <r>
      <rPr>
        <sz val="10"/>
        <color rgb="FF222222"/>
        <rFont val="돋움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동작</t>
    </r>
  </si>
  <si>
    <t>Leaflet.js 또는 Kakao Maps 등 API 기반 관광지·맛집 지도 핀 시각화 및 권역 필터</t>
  </si>
  <si>
    <t>Chart.js 또는 D3.js 등을 활용한 권역별 게시글 현황, 인기 지역 통계 시각화</t>
  </si>
  <si>
    <t>권역별 축제 일정을 캘린더 형태로 시각화 (FullCalendar 등 외부 라이브러리 활용 가능)</t>
  </si>
  <si>
    <t>복수의 관광지·맛집을 선택하여 이동 경로를 지도 위에 시각화</t>
  </si>
  <si>
    <t>관광지·맛집 데이터를 검색하여 여행 일정에 쉽게 추가하고, 날짜별·순서별로 여행 코스를 생성·관리하는 기능 (Trip Planner 형태)</t>
  </si>
  <si>
    <t>외부 날씨 API를 연동하여 권역별 현재 날씨 및 여행 적합 여부 표시</t>
  </si>
  <si>
    <t>별도 서버 없이 일정 주기(polling)로 localStorage를 확인하여 새 게시글 알림 표시</t>
  </si>
  <si>
    <t>i18n을 활용한 한/영 전환 및 다국어 지역 정보 콘텐츠 제공</t>
  </si>
  <si>
    <t>KakaoTalk·링크 복사 등 외부 플랫폼 공유 기능 및 OG 태그 메타데이터 구성</t>
  </si>
  <si>
    <r>
      <rPr>
        <sz val="10"/>
        <color rgb="FF222222"/>
        <rFont val="맑은 고딕"/>
        <family val="3"/>
        <charset val="129"/>
      </rPr>
      <t>날씨 정보 연동 - 외부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날씨</t>
    </r>
    <r>
      <rPr>
        <sz val="10"/>
        <color rgb="FF222222"/>
        <rFont val="Arial"/>
        <family val="2"/>
      </rPr>
      <t xml:space="preserve"> API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적합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제공</t>
    </r>
    <phoneticPr fontId="17" type="noConversion"/>
  </si>
  <si>
    <r>
      <rPr>
        <sz val="10"/>
        <color rgb="FF222222"/>
        <rFont val="맑은 고딕"/>
        <family val="3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인기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통계를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차트로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시각화</t>
    </r>
    <phoneticPr fontId="17" type="noConversion"/>
  </si>
  <si>
    <r>
      <rPr>
        <sz val="10"/>
        <color rgb="FF222222"/>
        <rFont val="맑은 고딕"/>
        <family val="3"/>
        <charset val="129"/>
      </rPr>
      <t>데이터</t>
    </r>
    <r>
      <rPr>
        <sz val="10"/>
        <color rgb="FF222222"/>
        <rFont val="돋움"/>
        <family val="2"/>
        <charset val="129"/>
      </rPr>
      <t xml:space="preserve"> 시각화 대시보드 - 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현황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인기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통계를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차트로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phoneticPr fontId="17" type="noConversion"/>
  </si>
  <si>
    <r>
      <rPr>
        <sz val="11"/>
        <color theme="1"/>
        <rFont val="맑은 고딕"/>
        <family val="2"/>
        <charset val="129"/>
      </rPr>
      <t>여행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일정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맑은 고딕"/>
        <family val="2"/>
        <charset val="129"/>
      </rPr>
      <t>관리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2"/>
        <charset val="129"/>
      </rPr>
      <t>순위</t>
    </r>
    <r>
      <rPr>
        <sz val="11"/>
        <color theme="1"/>
        <rFont val="Calibri"/>
        <family val="2"/>
        <charset val="1"/>
      </rPr>
      <t xml:space="preserve">)
 </t>
    </r>
    <r>
      <rPr>
        <sz val="11"/>
        <color theme="1"/>
        <rFont val="맑은 고딕"/>
        <family val="2"/>
        <charset val="129"/>
      </rPr>
      <t>데이터 시각화 대시보드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>날씨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연동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맑은 고딕"/>
        <family val="2"/>
        <charset val="129"/>
      </rPr>
      <t>예비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후보</t>
    </r>
    <r>
      <rPr>
        <sz val="11"/>
        <color theme="1"/>
        <rFont val="Calibri"/>
        <family val="2"/>
        <charset val="1"/>
      </rPr>
      <t xml:space="preserve">) 
- </t>
    </r>
    <r>
      <rPr>
        <sz val="11"/>
        <color theme="1"/>
        <rFont val="맑은 고딕"/>
        <family val="2"/>
        <charset val="129"/>
      </rPr>
      <t>개발기간</t>
    </r>
    <r>
      <rPr>
        <sz val="11"/>
        <color theme="1"/>
        <rFont val="Calibri"/>
        <family val="2"/>
        <charset val="1"/>
      </rPr>
      <t xml:space="preserve"> 3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완성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가능성을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최우선으로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판단</t>
    </r>
    <phoneticPr fontId="17" type="noConversion"/>
  </si>
  <si>
    <r>
      <rPr>
        <sz val="10"/>
        <color rgb="FF222222"/>
        <rFont val="맑은 고딕"/>
        <family val="3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인증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관리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기능</t>
    </r>
    <phoneticPr fontId="17" type="noConversion"/>
  </si>
  <si>
    <r>
      <rPr>
        <sz val="10"/>
        <color rgb="FF222222"/>
        <rFont val="맑은 고딕"/>
        <family val="2"/>
        <charset val="129"/>
      </rPr>
      <t>회원가입/로그인 등 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인증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관리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기능</t>
    </r>
    <phoneticPr fontId="17" type="noConversion"/>
  </si>
  <si>
    <t>선정하지 않은 나머지 4개 권역 데이터 및 기능</t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</si>
  <si>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phoneticPr fontId="17" type="noConversion"/>
  </si>
  <si>
    <t>MVP 기능 범위 최종 확인 및 개발 우선순위 정리</t>
  </si>
  <si>
    <t>팀전체</t>
  </si>
  <si>
    <t>화면 목록 및 사용자 시나리오 정의</t>
  </si>
  <si>
    <t>프론트엔드 화면 구조 설계(Vue 컴포넌트 구조)</t>
  </si>
  <si>
    <t>FE</t>
  </si>
  <si>
    <t>백엔드 API 명세 설계(회원/게시글/조회 기능)</t>
  </si>
  <si>
    <t>BE</t>
  </si>
  <si>
    <t>DB 테이블 구조 설계</t>
  </si>
  <si>
    <t>프로젝트 환경 구성(Vue, 서버, DB 연결)</t>
  </si>
  <si>
    <t>FE/BE</t>
  </si>
  <si>
    <t>게시글 CRUD API 구현</t>
  </si>
  <si>
    <t>게시글 목록/상세 화면 구현</t>
  </si>
  <si>
    <t>지역 기반 게시글 조회 기능 구현</t>
  </si>
  <si>
    <t>기능 단위 테스트(회원/게시글/조회)</t>
  </si>
  <si>
    <t>오류 수정 및 최종 통합 테스트</t>
  </si>
  <si>
    <t>배포 환경 설정 및 서비스 배포</t>
  </si>
  <si>
    <t>배포 버전 점검 및 실행 확인</t>
  </si>
  <si>
    <t>API 명세 및 기능 설명 정리</t>
  </si>
  <si>
    <t>발표 자료 구성(서비스 목적, MVP 기능, 구현 내용)</t>
  </si>
  <si>
    <t>시연 시나리오 작성 및 발표 리허설</t>
  </si>
  <si>
    <r>
      <t xml:space="preserve">FE-BE API </t>
    </r>
    <r>
      <rPr>
        <sz val="10"/>
        <color rgb="FF222222"/>
        <rFont val="맑은 고딕"/>
        <family val="3"/>
        <charset val="129"/>
      </rPr>
      <t>연동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처리</t>
    </r>
    <phoneticPr fontId="17" type="noConversion"/>
  </si>
  <si>
    <t>BE</t>
    <phoneticPr fontId="17" type="noConversion"/>
  </si>
  <si>
    <r>
      <rPr>
        <sz val="10"/>
        <color rgb="FF222222"/>
        <rFont val="맑은 고딕"/>
        <family val="3"/>
        <charset val="129"/>
      </rPr>
      <t>챗봇</t>
    </r>
    <r>
      <rPr>
        <sz val="10"/>
        <color rgb="FF222222"/>
        <rFont val="Arial"/>
        <family val="2"/>
      </rPr>
      <t xml:space="preserve">  api </t>
    </r>
    <r>
      <rPr>
        <sz val="10"/>
        <color rgb="FF222222"/>
        <rFont val="맑은 고딕"/>
        <family val="3"/>
        <charset val="129"/>
      </rPr>
      <t>개발</t>
    </r>
    <phoneticPr fontId="17" type="noConversion"/>
  </si>
  <si>
    <r>
      <rPr>
        <sz val="10"/>
        <color rgb="FF222222"/>
        <rFont val="돋움"/>
        <family val="2"/>
        <charset val="129"/>
      </rPr>
      <t>챗봇</t>
    </r>
    <r>
      <rPr>
        <sz val="10"/>
        <color rgb="FF222222"/>
        <rFont val="Noto Sans CJK SC"/>
        <family val="2"/>
      </rPr>
      <t xml:space="preserve">  ui 위젯 개발</t>
    </r>
    <phoneticPr fontId="17" type="noConversion"/>
  </si>
  <si>
    <t>FE</t>
    <phoneticPr fontId="17" type="noConversion"/>
  </si>
  <si>
    <t>Must</t>
  </si>
  <si>
    <r>
      <rPr>
        <sz val="10"/>
        <color rgb="FF222222"/>
        <rFont val="돋움"/>
        <family val="2"/>
        <charset val="129"/>
      </rPr>
      <t>여행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일정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생성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2"/>
        <charset val="129"/>
      </rPr>
      <t>관리</t>
    </r>
    <r>
      <rPr>
        <sz val="10"/>
        <color rgb="FF222222"/>
        <rFont val="Noto Sans CJK SC"/>
        <family val="2"/>
      </rPr>
      <t xml:space="preserve"> - </t>
    </r>
    <r>
      <rPr>
        <sz val="10"/>
        <color rgb="FF222222"/>
        <rFont val="돋움"/>
        <family val="2"/>
        <charset val="129"/>
      </rPr>
      <t>관광지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2"/>
        <charset val="129"/>
      </rPr>
      <t>맛집을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검색하여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일정에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추가하고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날짜별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여행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코스를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생성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2"/>
        <charset val="129"/>
      </rPr>
      <t>관리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</si>
</sst>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8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b/>
      <sz val="11"/>
      <color theme="1"/>
      <name val="Calibri"/>
      <family val="2"/>
    </font>
    <font>
      <sz val="11"/>
      <color theme="1"/>
      <name val="Calibri"/>
      <family val="3"/>
      <charset val="129"/>
    </font>
    <font>
      <sz val="10"/>
      <color rgb="FF222222"/>
      <name val="돋움"/>
      <family val="3"/>
      <charset val="129"/>
    </font>
    <font>
      <sz val="10"/>
      <color rgb="FF222222"/>
      <name val="돋움"/>
      <family val="2"/>
      <charset val="129"/>
    </font>
    <font>
      <sz val="10"/>
      <color rgb="FF222222"/>
      <name val="Arial"/>
      <family val="3"/>
      <charset val="129"/>
    </font>
    <font>
      <sz val="10"/>
      <color rgb="FF222222"/>
      <name val="Arial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44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0" fillId="0" borderId="0" xfId="0" applyAlignment="1"/>
    <xf numFmtId="14" fontId="3" fillId="0" borderId="1" xfId="0" applyNumberFormat="1" applyFont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46" fillId="0" borderId="2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/>
    <xf numFmtId="0" fontId="4" fillId="8" borderId="3" xfId="0" applyFont="1" applyFill="1" applyBorder="1" applyAlignment="1"/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7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SAFY/Desktop/&#44256;&#51008;&#48708;/Day03_&#54617;&#49845;&#51088;&#47308;/03_3&#51068;&#52264;_&#54016;&#54532;&#47196;&#51229;&#53944;_&#49892;&#49845;&#44592;&#54925;&#49436;_&#51089;&#49457;&#50696;&#51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사용안내"/>
      <sheetName val="1_프롬프트가이드(참고)"/>
      <sheetName val="2_요구사항분석(샘플)"/>
      <sheetName val="3_아이디어도출(샘플)"/>
      <sheetName val="4_MVP정의(샘플)"/>
      <sheetName val="5_WBS_간트차트(샘플)"/>
      <sheetName val="6_용어설명(참고)"/>
    </sheetNames>
    <sheetDataSet>
      <sheetData sheetId="0"/>
      <sheetData sheetId="1"/>
      <sheetData sheetId="2"/>
      <sheetData sheetId="3">
        <row r="4">
          <cell r="K4" t="str">
            <v>지도 시각화</v>
          </cell>
        </row>
        <row r="5">
          <cell r="K5" t="str">
            <v>데이터 시각화 대시보드</v>
          </cell>
        </row>
        <row r="6">
          <cell r="K6" t="str">
            <v>축제 캘린더</v>
          </cell>
        </row>
        <row r="7">
          <cell r="K7" t="str">
            <v>경로 안내</v>
          </cell>
        </row>
        <row r="8">
          <cell r="K8" t="str">
            <v>여행 일정 생성/관리</v>
          </cell>
        </row>
        <row r="9">
          <cell r="K9" t="str">
            <v>날씨 정보 연동</v>
          </cell>
        </row>
        <row r="10">
          <cell r="K10" t="str">
            <v>실시간 알림</v>
          </cell>
        </row>
        <row r="11">
          <cell r="K11" t="str">
            <v>다국어 지원</v>
          </cell>
        </row>
        <row r="12">
          <cell r="K12" t="str">
            <v>소셜 공유 연동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6" t="s">
        <v>110</v>
      </c>
      <c r="C2" s="46"/>
    </row>
    <row r="4" spans="2:3" ht="19.5" customHeight="1">
      <c r="B4" s="14" t="s">
        <v>111</v>
      </c>
      <c r="C4" s="15" t="s">
        <v>112</v>
      </c>
    </row>
    <row r="5" spans="2:3" ht="36.950000000000003" customHeight="1">
      <c r="B5" s="1" t="s">
        <v>0</v>
      </c>
      <c r="C5" s="15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42" t="s">
        <v>116</v>
      </c>
      <c r="C9" s="43"/>
    </row>
    <row r="10" spans="2:3" ht="27">
      <c r="B10" s="4" t="s">
        <v>3</v>
      </c>
      <c r="C10" s="15" t="s">
        <v>117</v>
      </c>
    </row>
    <row r="11" spans="2:3" ht="40.5">
      <c r="B11" s="4" t="s">
        <v>118</v>
      </c>
      <c r="C11" s="15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5" t="s">
        <v>126</v>
      </c>
    </row>
    <row r="17" spans="2:3" ht="15" customHeight="1">
      <c r="B17" s="44" t="s">
        <v>5</v>
      </c>
      <c r="C17" s="45"/>
    </row>
    <row r="18" spans="2:3" ht="27.75" customHeight="1">
      <c r="B18" s="47" t="s">
        <v>127</v>
      </c>
      <c r="C18" s="48"/>
    </row>
    <row r="19" spans="2:3" ht="27.75" customHeight="1">
      <c r="B19" s="40" t="s">
        <v>7</v>
      </c>
      <c r="C19" s="41"/>
    </row>
    <row r="20" spans="2:3" ht="27.75" customHeight="1">
      <c r="B20" s="40" t="s">
        <v>8</v>
      </c>
      <c r="C20" s="41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topLeftCell="A4" zoomScaleNormal="100" workbookViewId="0">
      <selection activeCell="D8" sqref="D8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1" t="s">
        <v>9</v>
      </c>
      <c r="C2" s="52"/>
      <c r="D2" s="52"/>
      <c r="E2" s="52"/>
      <c r="F2" s="52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3" t="s">
        <v>144</v>
      </c>
      <c r="C5" s="24" t="s">
        <v>15</v>
      </c>
      <c r="D5" s="15" t="s">
        <v>141</v>
      </c>
      <c r="E5" s="25" t="s">
        <v>142</v>
      </c>
      <c r="F5" s="24" t="s">
        <v>16</v>
      </c>
    </row>
    <row r="6" spans="2:10" ht="129.75" customHeight="1">
      <c r="B6" s="23" t="s">
        <v>145</v>
      </c>
      <c r="C6" s="24" t="s">
        <v>17</v>
      </c>
      <c r="D6" s="15" t="s">
        <v>149</v>
      </c>
      <c r="E6" s="24" t="s">
        <v>18</v>
      </c>
      <c r="F6" s="24" t="s">
        <v>19</v>
      </c>
    </row>
    <row r="7" spans="2:10" ht="129.75" customHeight="1">
      <c r="B7" s="23" t="s">
        <v>20</v>
      </c>
      <c r="C7" s="5" t="s">
        <v>21</v>
      </c>
      <c r="D7" s="22" t="s">
        <v>147</v>
      </c>
      <c r="E7" s="5" t="s">
        <v>22</v>
      </c>
      <c r="F7" s="5" t="s">
        <v>23</v>
      </c>
      <c r="J7" s="27" t="s">
        <v>148</v>
      </c>
    </row>
    <row r="8" spans="2:10" ht="129.75" customHeight="1">
      <c r="B8" s="26" t="s">
        <v>146</v>
      </c>
      <c r="C8" s="5" t="s">
        <v>24</v>
      </c>
      <c r="D8" s="15" t="s">
        <v>143</v>
      </c>
      <c r="E8" s="24" t="s">
        <v>25</v>
      </c>
      <c r="F8" s="5" t="s">
        <v>26</v>
      </c>
    </row>
    <row r="9" spans="2:10" ht="14.1" customHeight="1"/>
    <row r="10" spans="2:10" ht="15" customHeight="1">
      <c r="B10" s="53" t="s">
        <v>128</v>
      </c>
      <c r="C10" s="50"/>
      <c r="D10" s="50"/>
      <c r="E10" s="50"/>
      <c r="F10" s="43"/>
    </row>
    <row r="11" spans="2:10" ht="24" customHeight="1">
      <c r="B11" s="5" t="s">
        <v>6</v>
      </c>
      <c r="C11" s="49" t="s">
        <v>129</v>
      </c>
      <c r="D11" s="50"/>
      <c r="E11" s="50"/>
      <c r="F11" s="50"/>
    </row>
    <row r="12" spans="2:10" ht="24" customHeight="1">
      <c r="B12" s="5" t="s">
        <v>6</v>
      </c>
      <c r="C12" s="49" t="s">
        <v>130</v>
      </c>
      <c r="D12" s="50"/>
      <c r="E12" s="50"/>
      <c r="F12" s="50"/>
    </row>
    <row r="13" spans="2:10" ht="24" customHeight="1">
      <c r="B13" s="5" t="s">
        <v>6</v>
      </c>
      <c r="C13" s="49" t="s">
        <v>131</v>
      </c>
      <c r="D13" s="50"/>
      <c r="E13" s="50"/>
      <c r="F13" s="50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N38"/>
  <sheetViews>
    <sheetView showGridLines="0" topLeftCell="A4" zoomScaleNormal="100" workbookViewId="0">
      <selection activeCell="B15" sqref="B15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14" ht="30" customHeight="1">
      <c r="B2" s="54" t="s">
        <v>27</v>
      </c>
      <c r="C2" s="52"/>
      <c r="D2" s="52"/>
      <c r="E2" s="52"/>
      <c r="F2" s="52"/>
    </row>
    <row r="3" spans="2:14" ht="28.35" customHeight="1">
      <c r="B3" s="55" t="s">
        <v>140</v>
      </c>
      <c r="C3" s="50"/>
      <c r="D3" s="50"/>
      <c r="E3" s="50"/>
      <c r="F3" s="43"/>
    </row>
    <row r="4" spans="2:14" ht="35.65" customHeight="1">
      <c r="B4" s="8" t="s">
        <v>28</v>
      </c>
      <c r="C4" s="8" t="s">
        <v>29</v>
      </c>
      <c r="D4" s="8" t="s">
        <v>30</v>
      </c>
      <c r="E4" s="16" t="s">
        <v>132</v>
      </c>
      <c r="F4" s="8" t="s">
        <v>31</v>
      </c>
    </row>
    <row r="5" spans="2:14" ht="15" customHeight="1">
      <c r="B5" s="9" t="s">
        <v>32</v>
      </c>
      <c r="C5" s="9"/>
      <c r="D5" s="9"/>
      <c r="E5" s="9"/>
      <c r="F5" s="9"/>
      <c r="J5" s="32"/>
      <c r="K5" s="32"/>
      <c r="L5" s="32"/>
      <c r="M5" s="32"/>
      <c r="N5" s="32"/>
    </row>
    <row r="6" spans="2:14" ht="30" customHeight="1">
      <c r="B6" s="3" t="s">
        <v>28</v>
      </c>
      <c r="C6" s="2" t="s">
        <v>29</v>
      </c>
      <c r="D6" s="2" t="s">
        <v>30</v>
      </c>
      <c r="E6" s="2" t="s">
        <v>166</v>
      </c>
      <c r="F6" s="2" t="s">
        <v>167</v>
      </c>
      <c r="J6" s="33"/>
      <c r="K6" s="30"/>
      <c r="L6" s="30"/>
      <c r="M6" s="30"/>
      <c r="N6" s="30"/>
    </row>
    <row r="7" spans="2:14" ht="30" customHeight="1">
      <c r="B7" s="3" t="s">
        <v>161</v>
      </c>
      <c r="C7" s="2" t="s">
        <v>168</v>
      </c>
      <c r="D7" s="2" t="s">
        <v>169</v>
      </c>
      <c r="E7" s="2" t="s">
        <v>170</v>
      </c>
      <c r="F7" s="2" t="s">
        <v>171</v>
      </c>
      <c r="J7" s="33"/>
      <c r="K7" s="30"/>
      <c r="L7" s="30"/>
      <c r="M7" s="30"/>
      <c r="N7" s="30"/>
    </row>
    <row r="8" spans="2:14" ht="30" customHeight="1">
      <c r="B8" s="3" t="s">
        <v>161</v>
      </c>
      <c r="C8" s="2" t="s">
        <v>172</v>
      </c>
      <c r="D8" s="2" t="s">
        <v>173</v>
      </c>
      <c r="E8" s="2" t="s">
        <v>174</v>
      </c>
      <c r="F8" s="2" t="s">
        <v>175</v>
      </c>
      <c r="J8" s="33"/>
      <c r="K8" s="30"/>
      <c r="L8" s="30"/>
      <c r="M8" s="30"/>
      <c r="N8" s="30"/>
    </row>
    <row r="9" spans="2:14" ht="30" customHeight="1">
      <c r="B9" s="3" t="s">
        <v>161</v>
      </c>
      <c r="C9" s="2" t="s">
        <v>162</v>
      </c>
      <c r="D9" s="2" t="s">
        <v>176</v>
      </c>
      <c r="E9" s="2" t="s">
        <v>177</v>
      </c>
      <c r="F9" s="2" t="s">
        <v>178</v>
      </c>
      <c r="J9" s="33"/>
      <c r="K9" s="30"/>
      <c r="L9" s="30"/>
      <c r="M9" s="30"/>
      <c r="N9" s="30"/>
    </row>
    <row r="10" spans="2:14" ht="30" customHeight="1">
      <c r="B10" s="3" t="s">
        <v>161</v>
      </c>
      <c r="C10" s="2" t="s">
        <v>179</v>
      </c>
      <c r="D10" s="2" t="s">
        <v>180</v>
      </c>
      <c r="E10" s="2" t="s">
        <v>181</v>
      </c>
      <c r="F10" s="2" t="s">
        <v>182</v>
      </c>
      <c r="J10" s="33"/>
      <c r="K10" s="30"/>
      <c r="L10" s="30"/>
      <c r="M10" s="30"/>
      <c r="N10" s="30"/>
    </row>
    <row r="11" spans="2:14" ht="30" customHeight="1">
      <c r="B11" s="3" t="s">
        <v>161</v>
      </c>
      <c r="C11" s="2" t="s">
        <v>183</v>
      </c>
      <c r="D11" s="2" t="s">
        <v>184</v>
      </c>
      <c r="E11" s="2" t="s">
        <v>185</v>
      </c>
      <c r="F11" s="2" t="s">
        <v>186</v>
      </c>
      <c r="J11" s="33"/>
      <c r="K11" s="30"/>
      <c r="L11" s="30"/>
      <c r="M11" s="30"/>
      <c r="N11" s="30"/>
    </row>
    <row r="12" spans="2:14" ht="30" customHeight="1">
      <c r="B12" s="3" t="s">
        <v>161</v>
      </c>
      <c r="C12" s="2" t="s">
        <v>187</v>
      </c>
      <c r="D12" s="2" t="s">
        <v>188</v>
      </c>
      <c r="E12" s="2" t="s">
        <v>189</v>
      </c>
      <c r="F12" s="2" t="s">
        <v>190</v>
      </c>
      <c r="J12" s="33"/>
      <c r="K12" s="30"/>
      <c r="L12" s="30"/>
      <c r="M12" s="30"/>
      <c r="N12" s="30"/>
    </row>
    <row r="13" spans="2:14" ht="30" customHeight="1">
      <c r="B13" s="3" t="s">
        <v>161</v>
      </c>
      <c r="C13" s="2" t="s">
        <v>191</v>
      </c>
      <c r="D13" s="2" t="s">
        <v>192</v>
      </c>
      <c r="E13" s="2" t="s">
        <v>193</v>
      </c>
      <c r="F13" s="2" t="s">
        <v>194</v>
      </c>
      <c r="J13" s="33"/>
      <c r="K13" s="30"/>
      <c r="L13" s="30"/>
      <c r="M13" s="30"/>
      <c r="N13" s="30"/>
    </row>
    <row r="14" spans="2:14" ht="30" customHeight="1">
      <c r="B14" s="3" t="s">
        <v>161</v>
      </c>
      <c r="C14" s="2" t="s">
        <v>195</v>
      </c>
      <c r="D14" s="2" t="s">
        <v>196</v>
      </c>
      <c r="E14" s="2" t="s">
        <v>197</v>
      </c>
      <c r="F14" s="2" t="s">
        <v>198</v>
      </c>
      <c r="J14" s="33"/>
      <c r="K14" s="30"/>
      <c r="L14" s="30"/>
      <c r="M14" s="30"/>
      <c r="N14" s="30"/>
    </row>
    <row r="15" spans="2:14" ht="30" customHeight="1">
      <c r="B15" s="3" t="s">
        <v>286</v>
      </c>
      <c r="C15" s="2" t="s">
        <v>150</v>
      </c>
      <c r="D15" s="2" t="s">
        <v>199</v>
      </c>
      <c r="E15" s="2" t="s">
        <v>200</v>
      </c>
      <c r="F15" s="2" t="s">
        <v>201</v>
      </c>
      <c r="J15" s="33"/>
      <c r="K15" s="30"/>
      <c r="L15" s="30"/>
      <c r="M15" s="30"/>
      <c r="N15" s="30"/>
    </row>
    <row r="16" spans="2:14" ht="30" customHeight="1">
      <c r="B16" s="3" t="s">
        <v>163</v>
      </c>
      <c r="C16" s="2" t="s">
        <v>151</v>
      </c>
      <c r="D16" s="2" t="s">
        <v>202</v>
      </c>
      <c r="E16" s="2" t="s">
        <v>203</v>
      </c>
      <c r="F16" s="2" t="s">
        <v>204</v>
      </c>
      <c r="J16" s="33"/>
      <c r="K16" s="30"/>
      <c r="L16" s="30"/>
      <c r="M16" s="30"/>
      <c r="N16" s="30"/>
    </row>
    <row r="17" spans="2:14" ht="30" customHeight="1">
      <c r="B17" s="3" t="s">
        <v>163</v>
      </c>
      <c r="C17" s="2" t="s">
        <v>164</v>
      </c>
      <c r="D17" s="2" t="s">
        <v>205</v>
      </c>
      <c r="E17" s="2" t="s">
        <v>206</v>
      </c>
      <c r="F17" s="2" t="s">
        <v>207</v>
      </c>
      <c r="J17" s="33"/>
      <c r="K17" s="30"/>
      <c r="L17" s="30"/>
      <c r="M17" s="30"/>
      <c r="N17" s="30"/>
    </row>
    <row r="18" spans="2:14" ht="30" customHeight="1">
      <c r="B18" s="3" t="s">
        <v>165</v>
      </c>
      <c r="C18" s="2" t="s">
        <v>153</v>
      </c>
      <c r="D18" s="2" t="s">
        <v>208</v>
      </c>
      <c r="E18" s="2" t="s">
        <v>209</v>
      </c>
      <c r="F18" s="2" t="s">
        <v>210</v>
      </c>
      <c r="J18" s="33"/>
      <c r="K18" s="30"/>
      <c r="L18" s="30"/>
      <c r="M18" s="30"/>
      <c r="N18" s="30"/>
    </row>
    <row r="19" spans="2:14" ht="30" customHeight="1">
      <c r="B19" s="3" t="s">
        <v>165</v>
      </c>
      <c r="C19" s="2" t="s">
        <v>155</v>
      </c>
      <c r="D19" s="2" t="s">
        <v>211</v>
      </c>
      <c r="E19" s="2" t="s">
        <v>212</v>
      </c>
      <c r="F19" s="2" t="s">
        <v>213</v>
      </c>
      <c r="J19" s="33"/>
      <c r="K19" s="30"/>
      <c r="L19" s="30"/>
      <c r="M19" s="30"/>
      <c r="N19" s="30"/>
    </row>
    <row r="20" spans="2:14" ht="30" customHeight="1">
      <c r="B20" s="3" t="s">
        <v>165</v>
      </c>
      <c r="C20" s="2" t="s">
        <v>152</v>
      </c>
      <c r="D20" s="15" t="s">
        <v>254</v>
      </c>
      <c r="E20" s="2" t="s">
        <v>214</v>
      </c>
      <c r="F20" s="2" t="s">
        <v>215</v>
      </c>
      <c r="J20" s="33"/>
      <c r="K20" s="30"/>
      <c r="L20" s="30"/>
      <c r="M20" s="30"/>
      <c r="N20" s="30"/>
    </row>
    <row r="21" spans="2:14" ht="30" customHeight="1">
      <c r="B21" s="3" t="s">
        <v>165</v>
      </c>
      <c r="C21" s="2" t="s">
        <v>216</v>
      </c>
      <c r="D21" s="2" t="s">
        <v>217</v>
      </c>
      <c r="E21" s="2" t="s">
        <v>218</v>
      </c>
      <c r="F21" s="2" t="s">
        <v>219</v>
      </c>
      <c r="J21" s="33"/>
      <c r="K21" s="30"/>
      <c r="L21" s="30"/>
      <c r="M21" s="30"/>
      <c r="N21" s="30"/>
    </row>
    <row r="22" spans="2:14" ht="30" customHeight="1">
      <c r="B22" s="3" t="s">
        <v>165</v>
      </c>
      <c r="C22" s="2" t="s">
        <v>157</v>
      </c>
      <c r="D22" s="2" t="s">
        <v>220</v>
      </c>
      <c r="E22" s="2" t="s">
        <v>221</v>
      </c>
      <c r="F22" s="2" t="s">
        <v>222</v>
      </c>
      <c r="J22" s="33"/>
      <c r="K22" s="30"/>
      <c r="L22" s="30"/>
      <c r="M22" s="30"/>
      <c r="N22" s="30"/>
    </row>
    <row r="23" spans="2:14" s="28" customFormat="1" ht="30" customHeight="1">
      <c r="B23" s="3" t="s">
        <v>223</v>
      </c>
      <c r="C23" s="2" t="s">
        <v>154</v>
      </c>
      <c r="D23" s="2" t="s">
        <v>224</v>
      </c>
      <c r="E23" s="2" t="s">
        <v>225</v>
      </c>
      <c r="F23" s="2" t="s">
        <v>226</v>
      </c>
      <c r="J23" s="33"/>
      <c r="K23" s="30"/>
      <c r="L23" s="30"/>
      <c r="M23" s="30"/>
      <c r="N23" s="30"/>
    </row>
    <row r="24" spans="2:14" s="28" customFormat="1" ht="30" customHeight="1">
      <c r="B24" s="3" t="s">
        <v>223</v>
      </c>
      <c r="C24" s="2" t="s">
        <v>156</v>
      </c>
      <c r="D24" s="2" t="s">
        <v>227</v>
      </c>
      <c r="E24" s="2" t="s">
        <v>228</v>
      </c>
      <c r="F24" s="2" t="s">
        <v>229</v>
      </c>
      <c r="J24" s="33"/>
      <c r="K24" s="30"/>
      <c r="L24" s="30"/>
      <c r="M24" s="30"/>
      <c r="N24" s="30"/>
    </row>
    <row r="25" spans="2:14" s="28" customFormat="1" ht="30" customHeight="1">
      <c r="B25" s="3" t="s">
        <v>223</v>
      </c>
      <c r="C25" s="2" t="s">
        <v>230</v>
      </c>
      <c r="D25" s="15" t="s">
        <v>257</v>
      </c>
      <c r="E25" s="2" t="s">
        <v>231</v>
      </c>
      <c r="F25" s="2" t="s">
        <v>232</v>
      </c>
      <c r="J25" s="33"/>
      <c r="K25" s="30"/>
      <c r="L25" s="30"/>
      <c r="M25" s="30"/>
      <c r="N25" s="30"/>
    </row>
    <row r="26" spans="2:14" s="28" customFormat="1" ht="30" customHeight="1">
      <c r="B26" s="3" t="s">
        <v>223</v>
      </c>
      <c r="C26" s="2" t="s">
        <v>233</v>
      </c>
      <c r="D26" s="2" t="s">
        <v>234</v>
      </c>
      <c r="E26" s="2" t="s">
        <v>235</v>
      </c>
      <c r="F26" s="2" t="s">
        <v>236</v>
      </c>
      <c r="J26" s="33"/>
      <c r="K26" s="30"/>
      <c r="L26" s="30"/>
      <c r="M26" s="30"/>
      <c r="N26" s="30"/>
    </row>
    <row r="27" spans="2:14" s="28" customFormat="1" ht="30" customHeight="1">
      <c r="B27" s="3" t="s">
        <v>223</v>
      </c>
      <c r="C27" s="2" t="s">
        <v>237</v>
      </c>
      <c r="D27" s="2" t="s">
        <v>238</v>
      </c>
      <c r="E27" s="2" t="s">
        <v>206</v>
      </c>
      <c r="F27" s="2" t="s">
        <v>239</v>
      </c>
      <c r="K27" s="33"/>
      <c r="L27" s="33"/>
      <c r="M27" s="30"/>
    </row>
    <row r="28" spans="2:14" s="28" customFormat="1" ht="30" customHeight="1">
      <c r="F28" s="33"/>
      <c r="G28" s="33"/>
      <c r="H28" s="30"/>
    </row>
    <row r="29" spans="2:14" s="28" customFormat="1" ht="30" customHeight="1">
      <c r="F29" s="33"/>
      <c r="G29" s="33"/>
      <c r="H29" s="30"/>
    </row>
    <row r="30" spans="2:14" s="28" customFormat="1" ht="30" customHeight="1">
      <c r="F30" s="33"/>
      <c r="G30" s="33"/>
      <c r="H30" s="30"/>
    </row>
    <row r="31" spans="2:14" s="28" customFormat="1" ht="30" customHeight="1">
      <c r="F31" s="33"/>
      <c r="G31" s="33"/>
      <c r="H31" s="30"/>
    </row>
    <row r="32" spans="2:14" s="28" customFormat="1" ht="30" customHeight="1">
      <c r="F32" s="33"/>
      <c r="G32" s="33"/>
      <c r="H32" s="30"/>
    </row>
    <row r="33" spans="6:13" ht="30" customHeight="1">
      <c r="F33" s="33"/>
      <c r="G33" s="33"/>
      <c r="H33" s="30"/>
    </row>
    <row r="34" spans="6:13">
      <c r="K34" s="33"/>
      <c r="L34" s="33"/>
      <c r="M34" s="30"/>
    </row>
    <row r="35" spans="6:13">
      <c r="K35" s="33"/>
      <c r="L35" s="33"/>
      <c r="M35" s="30"/>
    </row>
    <row r="36" spans="6:13">
      <c r="K36" s="33"/>
      <c r="L36" s="33"/>
      <c r="M36" s="30"/>
    </row>
    <row r="37" spans="6:13">
      <c r="K37" s="33"/>
      <c r="L37" s="33"/>
      <c r="M37" s="30"/>
    </row>
    <row r="38" spans="6:13">
      <c r="K38" s="33"/>
      <c r="L38" s="33"/>
      <c r="M38" s="30"/>
    </row>
  </sheetData>
  <mergeCells count="2">
    <mergeCell ref="B2:F2"/>
    <mergeCell ref="B3:F3"/>
  </mergeCells>
  <phoneticPr fontId="17" type="noConversion"/>
  <dataValidations count="1">
    <dataValidation type="list" allowBlank="1" sqref="B6:B27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R30"/>
  <sheetViews>
    <sheetView showGridLines="0" topLeftCell="A4" zoomScale="85" zoomScaleNormal="85" workbookViewId="0">
      <selection activeCell="B12" sqref="B12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18" ht="30" customHeight="1">
      <c r="B2" s="51" t="s">
        <v>33</v>
      </c>
      <c r="C2" s="52"/>
      <c r="D2" s="52"/>
      <c r="E2" s="52"/>
      <c r="F2" s="52"/>
      <c r="G2" s="52"/>
      <c r="H2" s="52"/>
    </row>
    <row r="3" spans="2:18" ht="72.400000000000006" customHeight="1">
      <c r="B3" s="56" t="s">
        <v>134</v>
      </c>
      <c r="C3" s="50"/>
      <c r="D3" s="50"/>
      <c r="E3" s="50"/>
      <c r="F3" s="50"/>
      <c r="G3" s="50"/>
      <c r="H3" s="43"/>
      <c r="N3" s="32"/>
      <c r="O3" s="32"/>
      <c r="P3" s="32"/>
      <c r="Q3" s="32"/>
      <c r="R3" s="32"/>
    </row>
    <row r="4" spans="2:18" ht="18" customHeight="1">
      <c r="B4" s="57" t="s">
        <v>34</v>
      </c>
      <c r="C4" s="50"/>
      <c r="D4" s="50"/>
      <c r="E4" s="50"/>
      <c r="F4" s="50"/>
      <c r="G4" s="50"/>
      <c r="H4" s="43"/>
      <c r="N4" s="30"/>
      <c r="O4" s="32"/>
      <c r="P4" s="31"/>
      <c r="Q4" s="31"/>
      <c r="R4" s="30"/>
    </row>
    <row r="5" spans="2:18" ht="31.5" customHeight="1">
      <c r="B5" s="10" t="s">
        <v>35</v>
      </c>
      <c r="C5" s="10" t="s">
        <v>36</v>
      </c>
      <c r="D5" s="18" t="s">
        <v>37</v>
      </c>
      <c r="E5" s="11" t="s">
        <v>38</v>
      </c>
      <c r="F5" s="11" t="s">
        <v>39</v>
      </c>
      <c r="G5" s="10" t="s">
        <v>40</v>
      </c>
      <c r="H5" s="11" t="s">
        <v>41</v>
      </c>
      <c r="L5" s="32"/>
      <c r="M5" s="32"/>
      <c r="N5" s="30"/>
      <c r="O5" s="32"/>
      <c r="P5" s="31"/>
      <c r="Q5" s="31"/>
      <c r="R5" s="30"/>
    </row>
    <row r="6" spans="2:18" ht="33.75" customHeight="1">
      <c r="B6" s="12" t="str">
        <f>'[1]3_아이디어도출(샘플)'!K4</f>
        <v>지도 시각화</v>
      </c>
      <c r="C6" s="3" t="s">
        <v>244</v>
      </c>
      <c r="D6" s="5">
        <v>3</v>
      </c>
      <c r="E6" s="5">
        <v>2</v>
      </c>
      <c r="F6" s="5">
        <v>5</v>
      </c>
      <c r="G6" s="5">
        <f>IF(OR(E6="",F6=""),"",E6*F6*2)</f>
        <v>20</v>
      </c>
      <c r="H6" s="5" t="s">
        <v>160</v>
      </c>
      <c r="L6" s="30"/>
      <c r="M6" s="30"/>
      <c r="N6" s="30"/>
      <c r="O6" s="32"/>
      <c r="P6" s="31"/>
      <c r="Q6" s="31"/>
      <c r="R6" s="30"/>
    </row>
    <row r="7" spans="2:18" ht="33.75" customHeight="1">
      <c r="B7" s="12" t="str">
        <f>'[1]3_아이디어도출(샘플)'!K5</f>
        <v>데이터 시각화 대시보드</v>
      </c>
      <c r="C7" s="3" t="s">
        <v>245</v>
      </c>
      <c r="D7" s="5">
        <v>2</v>
      </c>
      <c r="E7" s="5">
        <v>5</v>
      </c>
      <c r="F7" s="5">
        <v>3.5</v>
      </c>
      <c r="G7" s="5">
        <f t="shared" ref="G7:G14" si="0">IF(OR(E7="",F7=""),"",E7*F7*2)</f>
        <v>35</v>
      </c>
      <c r="H7" s="5" t="s">
        <v>160</v>
      </c>
      <c r="L7" s="30"/>
      <c r="M7" s="30"/>
      <c r="N7" s="30"/>
      <c r="O7" s="32"/>
      <c r="P7" s="31"/>
      <c r="Q7" s="31"/>
      <c r="R7" s="30"/>
    </row>
    <row r="8" spans="2:18" ht="33.75" customHeight="1">
      <c r="B8" s="12" t="str">
        <f>'[1]3_아이디어도출(샘플)'!K6</f>
        <v>축제 캘린더</v>
      </c>
      <c r="C8" s="3" t="s">
        <v>246</v>
      </c>
      <c r="D8" s="5">
        <v>3</v>
      </c>
      <c r="E8" s="5">
        <v>4</v>
      </c>
      <c r="F8" s="5">
        <v>3</v>
      </c>
      <c r="G8" s="5">
        <f t="shared" si="0"/>
        <v>24</v>
      </c>
      <c r="H8" s="5" t="s">
        <v>160</v>
      </c>
      <c r="L8" s="30"/>
      <c r="M8" s="30"/>
      <c r="N8" s="33"/>
      <c r="O8" s="32"/>
      <c r="P8" s="31"/>
      <c r="Q8" s="31"/>
      <c r="R8" s="30"/>
    </row>
    <row r="9" spans="2:18" ht="33.75" customHeight="1">
      <c r="B9" s="12" t="str">
        <f>'[1]3_아이디어도출(샘플)'!K7</f>
        <v>경로 안내</v>
      </c>
      <c r="C9" s="2" t="s">
        <v>247</v>
      </c>
      <c r="D9" s="5">
        <v>5</v>
      </c>
      <c r="E9" s="5">
        <v>2</v>
      </c>
      <c r="F9" s="5">
        <v>5</v>
      </c>
      <c r="G9" s="5">
        <f t="shared" si="0"/>
        <v>20</v>
      </c>
      <c r="H9" s="5" t="s">
        <v>160</v>
      </c>
      <c r="L9" s="30"/>
      <c r="M9" s="30"/>
      <c r="N9" s="30"/>
      <c r="O9" s="32"/>
      <c r="P9" s="31"/>
      <c r="Q9" s="31"/>
      <c r="R9" s="30"/>
    </row>
    <row r="10" spans="2:18" ht="33.75" customHeight="1">
      <c r="B10" s="12" t="str">
        <f>'[1]3_아이디어도출(샘플)'!K8</f>
        <v>여행 일정 생성/관리</v>
      </c>
      <c r="C10" s="2" t="s">
        <v>248</v>
      </c>
      <c r="D10" s="5">
        <v>3</v>
      </c>
      <c r="E10" s="5">
        <v>5</v>
      </c>
      <c r="F10" s="5">
        <v>5</v>
      </c>
      <c r="G10" s="5">
        <f t="shared" si="0"/>
        <v>50</v>
      </c>
      <c r="H10" s="5" t="s">
        <v>158</v>
      </c>
      <c r="L10" s="33"/>
      <c r="M10" s="33"/>
      <c r="N10" s="30"/>
      <c r="O10" s="32"/>
      <c r="P10" s="31"/>
      <c r="Q10" s="31"/>
      <c r="R10" s="30"/>
    </row>
    <row r="11" spans="2:18" ht="33.75" customHeight="1">
      <c r="B11" s="12" t="str">
        <f>'[1]3_아이디어도출(샘플)'!K9</f>
        <v>날씨 정보 연동</v>
      </c>
      <c r="C11" s="3" t="s">
        <v>249</v>
      </c>
      <c r="D11" s="5">
        <v>2</v>
      </c>
      <c r="E11" s="5">
        <v>5</v>
      </c>
      <c r="F11" s="5">
        <v>4</v>
      </c>
      <c r="G11" s="5">
        <f t="shared" si="0"/>
        <v>40</v>
      </c>
      <c r="H11" s="5" t="s">
        <v>159</v>
      </c>
      <c r="L11" s="30"/>
      <c r="M11" s="30"/>
      <c r="N11" s="30"/>
      <c r="O11" s="32"/>
      <c r="P11" s="31"/>
      <c r="Q11" s="31"/>
      <c r="R11" s="30"/>
    </row>
    <row r="12" spans="2:18" s="28" customFormat="1" ht="33.75" customHeight="1">
      <c r="B12" s="12" t="str">
        <f>'[1]3_아이디어도출(샘플)'!K10</f>
        <v>실시간 알림</v>
      </c>
      <c r="C12" s="3" t="s">
        <v>250</v>
      </c>
      <c r="D12" s="5">
        <v>2</v>
      </c>
      <c r="E12" s="5">
        <v>5</v>
      </c>
      <c r="F12" s="5">
        <v>2</v>
      </c>
      <c r="G12" s="5">
        <f t="shared" si="0"/>
        <v>20</v>
      </c>
      <c r="H12" s="5" t="s">
        <v>160</v>
      </c>
      <c r="L12" s="30"/>
      <c r="M12" s="30"/>
      <c r="N12" s="30"/>
      <c r="O12" s="32"/>
      <c r="P12" s="31"/>
      <c r="Q12" s="31"/>
      <c r="R12" s="30"/>
    </row>
    <row r="13" spans="2:18" ht="33.75" customHeight="1">
      <c r="B13" s="12" t="str">
        <f>'[1]3_아이디어도출(샘플)'!K11</f>
        <v>다국어 지원</v>
      </c>
      <c r="C13" s="3" t="s">
        <v>251</v>
      </c>
      <c r="D13" s="5">
        <v>2</v>
      </c>
      <c r="E13" s="5">
        <v>5</v>
      </c>
      <c r="F13" s="5">
        <v>3</v>
      </c>
      <c r="G13" s="5">
        <f t="shared" si="0"/>
        <v>30</v>
      </c>
      <c r="H13" s="5" t="s">
        <v>160</v>
      </c>
      <c r="L13" s="30"/>
      <c r="M13" s="30"/>
      <c r="N13" s="34"/>
      <c r="O13" s="32"/>
      <c r="P13" s="31"/>
      <c r="Q13" s="31"/>
      <c r="R13" s="30"/>
    </row>
    <row r="14" spans="2:18" s="28" customFormat="1" ht="33.75" customHeight="1">
      <c r="B14" s="12" t="str">
        <f>'[1]3_아이디어도출(샘플)'!K12</f>
        <v>소셜 공유 연동</v>
      </c>
      <c r="C14" s="3" t="s">
        <v>252</v>
      </c>
      <c r="D14" s="5">
        <v>2</v>
      </c>
      <c r="E14" s="5">
        <v>5</v>
      </c>
      <c r="F14" s="5">
        <v>3</v>
      </c>
      <c r="G14" s="5">
        <f t="shared" si="0"/>
        <v>30</v>
      </c>
      <c r="H14" s="5" t="s">
        <v>160</v>
      </c>
      <c r="L14" s="30"/>
      <c r="M14" s="30"/>
      <c r="N14" s="32"/>
      <c r="O14" s="32"/>
      <c r="P14" s="32"/>
      <c r="Q14" s="32"/>
    </row>
    <row r="15" spans="2:18">
      <c r="N15" s="30"/>
      <c r="O15" s="31"/>
      <c r="P15" s="31"/>
      <c r="Q15" s="31"/>
    </row>
    <row r="16" spans="2:18" ht="118.7" customHeight="1">
      <c r="B16" s="17" t="s">
        <v>133</v>
      </c>
      <c r="C16" s="58" t="s">
        <v>256</v>
      </c>
      <c r="D16" s="59"/>
      <c r="E16" s="59"/>
      <c r="F16" s="59"/>
      <c r="G16" s="59"/>
      <c r="H16" s="45"/>
      <c r="N16" s="30"/>
      <c r="O16" s="31"/>
      <c r="P16" s="31"/>
      <c r="Q16" s="31"/>
    </row>
    <row r="17" spans="2:17">
      <c r="N17" s="30"/>
      <c r="O17" s="31"/>
      <c r="P17" s="31"/>
      <c r="Q17" s="31"/>
    </row>
    <row r="18" spans="2:17">
      <c r="N18" s="33"/>
      <c r="O18" s="32"/>
      <c r="P18" s="32"/>
      <c r="Q18" s="32"/>
    </row>
    <row r="19" spans="2:17">
      <c r="N19" s="30"/>
      <c r="O19" s="31"/>
      <c r="P19" s="31"/>
      <c r="Q19" s="31"/>
    </row>
    <row r="20" spans="2:17">
      <c r="B20" s="32"/>
      <c r="C20" s="32"/>
      <c r="D20" s="32"/>
      <c r="E20" s="32"/>
      <c r="N20" s="30"/>
      <c r="O20" s="31"/>
      <c r="P20" s="31"/>
      <c r="Q20" s="31"/>
    </row>
    <row r="21" spans="2:17">
      <c r="B21" s="30"/>
      <c r="C21" s="31"/>
      <c r="D21" s="31"/>
      <c r="E21" s="31"/>
      <c r="N21" s="30"/>
      <c r="O21" s="31"/>
      <c r="P21" s="31"/>
      <c r="Q21" s="31"/>
    </row>
    <row r="22" spans="2:17">
      <c r="B22" s="30"/>
      <c r="C22" s="31"/>
      <c r="D22" s="31"/>
      <c r="E22" s="31"/>
      <c r="N22" s="30"/>
      <c r="O22" s="31"/>
      <c r="P22" s="31"/>
      <c r="Q22" s="31"/>
    </row>
    <row r="23" spans="2:17">
      <c r="B23" s="30"/>
      <c r="C23" s="31"/>
      <c r="D23" s="31"/>
      <c r="E23" s="31"/>
      <c r="N23" s="30"/>
      <c r="O23" s="31"/>
      <c r="P23" s="31"/>
      <c r="Q23" s="31"/>
    </row>
    <row r="24" spans="2:17">
      <c r="B24" s="30"/>
      <c r="C24" s="31"/>
      <c r="D24" s="31"/>
      <c r="E24" s="31"/>
    </row>
    <row r="25" spans="2:17">
      <c r="B25" s="33"/>
      <c r="C25" s="32"/>
      <c r="D25" s="32"/>
      <c r="E25" s="32"/>
    </row>
    <row r="26" spans="2:17">
      <c r="B26" s="30"/>
      <c r="C26" s="31"/>
      <c r="D26" s="31"/>
      <c r="E26" s="31"/>
    </row>
    <row r="27" spans="2:17">
      <c r="B27" s="30"/>
      <c r="C27" s="31"/>
      <c r="D27" s="31"/>
      <c r="E27" s="31"/>
    </row>
    <row r="28" spans="2:17">
      <c r="B28" s="30"/>
      <c r="C28" s="31"/>
      <c r="D28" s="31"/>
      <c r="E28" s="31"/>
    </row>
    <row r="29" spans="2:17">
      <c r="B29" s="30"/>
      <c r="C29" s="31"/>
      <c r="D29" s="31"/>
      <c r="E29" s="31"/>
    </row>
    <row r="30" spans="2:17">
      <c r="B30" s="30"/>
      <c r="C30" s="31"/>
      <c r="D30" s="31"/>
      <c r="E30" s="31"/>
    </row>
  </sheetData>
  <mergeCells count="4">
    <mergeCell ref="B3:H3"/>
    <mergeCell ref="B2:H2"/>
    <mergeCell ref="B4:H4"/>
    <mergeCell ref="C16:H16"/>
  </mergeCells>
  <phoneticPr fontId="17" type="noConversion"/>
  <conditionalFormatting sqref="G6:G14">
    <cfRule type="expression" dxfId="1" priority="4">
      <formula>AND(G6&lt;&gt;"",G6&gt;=32)</formula>
    </cfRule>
  </conditionalFormatting>
  <dataValidations count="2">
    <dataValidation type="list" allowBlank="1" sqref="E6:F14" xr:uid="{00000000-0002-0000-0300-000000000000}">
      <formula1>"1,2,3,4,5"</formula1>
      <formula2>0</formula2>
    </dataValidation>
    <dataValidation type="list" allowBlank="1" sqref="H6:H14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J27"/>
  <sheetViews>
    <sheetView showGridLines="0" topLeftCell="A4" zoomScaleNormal="100" workbookViewId="0">
      <selection activeCell="H22" sqref="H22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10" ht="30" customHeight="1">
      <c r="B2" s="54" t="s">
        <v>42</v>
      </c>
      <c r="C2" s="52"/>
    </row>
    <row r="3" spans="2:10" ht="18" customHeight="1">
      <c r="B3" s="69" t="s">
        <v>43</v>
      </c>
      <c r="C3" s="43"/>
    </row>
    <row r="4" spans="2:10" ht="30" customHeight="1">
      <c r="B4" s="1" t="s">
        <v>44</v>
      </c>
      <c r="C4" s="2" t="s">
        <v>240</v>
      </c>
    </row>
    <row r="5" spans="2:10" ht="30" customHeight="1">
      <c r="B5" s="1" t="s">
        <v>45</v>
      </c>
      <c r="C5" s="35" t="s">
        <v>242</v>
      </c>
    </row>
    <row r="6" spans="2:10" ht="30" customHeight="1">
      <c r="B6" s="1" t="s">
        <v>46</v>
      </c>
      <c r="C6" s="36" t="s">
        <v>241</v>
      </c>
    </row>
    <row r="7" spans="2:10" ht="30" customHeight="1">
      <c r="B7" s="1" t="s">
        <v>47</v>
      </c>
      <c r="C7" s="35" t="s">
        <v>243</v>
      </c>
    </row>
    <row r="9" spans="2:10" ht="15" customHeight="1">
      <c r="B9" s="66" t="s">
        <v>48</v>
      </c>
      <c r="C9" s="67"/>
    </row>
    <row r="10" spans="2:10" ht="25.5" customHeight="1">
      <c r="B10" s="70" t="s">
        <v>169</v>
      </c>
      <c r="C10" s="60"/>
      <c r="J10" s="2"/>
    </row>
    <row r="11" spans="2:10" s="28" customFormat="1" ht="25.5" customHeight="1">
      <c r="B11" s="70" t="s">
        <v>173</v>
      </c>
      <c r="C11" s="60"/>
      <c r="J11" s="2"/>
    </row>
    <row r="12" spans="2:10" s="28" customFormat="1" ht="25.5" customHeight="1">
      <c r="B12" s="70" t="s">
        <v>176</v>
      </c>
      <c r="C12" s="60"/>
      <c r="J12" s="2"/>
    </row>
    <row r="13" spans="2:10" s="28" customFormat="1" ht="25.5" customHeight="1">
      <c r="B13" s="70" t="s">
        <v>180</v>
      </c>
      <c r="C13" s="60"/>
      <c r="J13" s="2"/>
    </row>
    <row r="14" spans="2:10" ht="25.5" customHeight="1">
      <c r="B14" s="70" t="s">
        <v>184</v>
      </c>
      <c r="C14" s="60"/>
      <c r="J14" s="2"/>
    </row>
    <row r="15" spans="2:10" ht="25.5" customHeight="1">
      <c r="B15" s="70" t="s">
        <v>188</v>
      </c>
      <c r="C15" s="60"/>
      <c r="J15" s="2"/>
    </row>
    <row r="16" spans="2:10" ht="25.5" customHeight="1">
      <c r="B16" s="70" t="s">
        <v>192</v>
      </c>
      <c r="C16" s="60"/>
      <c r="J16" s="2"/>
    </row>
    <row r="17" spans="2:10" s="29" customFormat="1" ht="25.5" customHeight="1">
      <c r="B17" s="91" t="s">
        <v>287</v>
      </c>
      <c r="C17" s="92"/>
      <c r="J17" s="2"/>
    </row>
    <row r="18" spans="2:10" s="28" customFormat="1" ht="25.5" customHeight="1">
      <c r="B18" s="70" t="s">
        <v>196</v>
      </c>
      <c r="C18" s="60"/>
      <c r="J18" s="2"/>
    </row>
    <row r="19" spans="2:10">
      <c r="B19" s="37"/>
      <c r="C19" s="37"/>
    </row>
    <row r="20" spans="2:10" ht="15" customHeight="1">
      <c r="B20" s="64" t="s">
        <v>49</v>
      </c>
      <c r="C20" s="65"/>
    </row>
    <row r="21" spans="2:10" ht="25.5" customHeight="1">
      <c r="B21" s="49" t="s">
        <v>253</v>
      </c>
      <c r="C21" s="41"/>
      <c r="H21" s="2"/>
    </row>
    <row r="22" spans="2:10" ht="25.5" customHeight="1">
      <c r="B22" s="61" t="s">
        <v>255</v>
      </c>
      <c r="C22" s="48"/>
    </row>
    <row r="24" spans="2:10" ht="15" customHeight="1">
      <c r="B24" s="62" t="s">
        <v>50</v>
      </c>
      <c r="C24" s="63"/>
    </row>
    <row r="25" spans="2:10" ht="25.5" customHeight="1">
      <c r="B25" s="68" t="s">
        <v>258</v>
      </c>
      <c r="C25" s="48"/>
    </row>
    <row r="26" spans="2:10" ht="25.5" customHeight="1">
      <c r="B26" s="40" t="s">
        <v>259</v>
      </c>
      <c r="C26" s="41"/>
    </row>
    <row r="27" spans="2:10" ht="25.5" customHeight="1">
      <c r="B27" s="49" t="s">
        <v>260</v>
      </c>
      <c r="C27" s="41"/>
    </row>
  </sheetData>
  <mergeCells count="19">
    <mergeCell ref="B2:C2"/>
    <mergeCell ref="B10:C10"/>
    <mergeCell ref="B14:C14"/>
    <mergeCell ref="B15:C15"/>
    <mergeCell ref="B11:C11"/>
    <mergeCell ref="B12:C12"/>
    <mergeCell ref="B13:C13"/>
    <mergeCell ref="B20:C20"/>
    <mergeCell ref="B9:C9"/>
    <mergeCell ref="B25:C25"/>
    <mergeCell ref="B26:C26"/>
    <mergeCell ref="B3:C3"/>
    <mergeCell ref="B16:C16"/>
    <mergeCell ref="B18:C18"/>
    <mergeCell ref="B17:C17"/>
    <mergeCell ref="B27:C27"/>
    <mergeCell ref="B21:C21"/>
    <mergeCell ref="B22:C22"/>
    <mergeCell ref="B24:C24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33"/>
  <sheetViews>
    <sheetView showGridLines="0" tabSelected="1" topLeftCell="A4" zoomScale="85" zoomScaleNormal="85" workbookViewId="0">
      <selection activeCell="D14" sqref="D14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7" width="11" bestFit="1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84" t="s">
        <v>51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2:13" ht="79.7" customHeight="1">
      <c r="B3" s="83" t="s">
        <v>135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43"/>
    </row>
    <row r="4" spans="2:13" ht="25.5" customHeight="1">
      <c r="B4" s="13" t="s">
        <v>52</v>
      </c>
      <c r="C4" s="11" t="s">
        <v>53</v>
      </c>
      <c r="D4" s="11" t="s">
        <v>54</v>
      </c>
      <c r="E4" s="11" t="s">
        <v>55</v>
      </c>
      <c r="F4" s="21" t="s">
        <v>138</v>
      </c>
      <c r="G4" s="21" t="s">
        <v>139</v>
      </c>
      <c r="H4" s="18" t="s">
        <v>56</v>
      </c>
      <c r="I4" s="20" t="s">
        <v>137</v>
      </c>
      <c r="J4" s="11" t="s">
        <v>57</v>
      </c>
      <c r="K4" s="19">
        <v>1</v>
      </c>
      <c r="L4" s="19">
        <v>2</v>
      </c>
      <c r="M4" s="19">
        <v>3</v>
      </c>
    </row>
    <row r="5" spans="2:13" ht="40.5" customHeight="1">
      <c r="B5" s="5">
        <v>1</v>
      </c>
      <c r="C5" s="5" t="s">
        <v>58</v>
      </c>
      <c r="D5" s="2" t="s">
        <v>261</v>
      </c>
      <c r="E5" s="5" t="s">
        <v>262</v>
      </c>
      <c r="F5" s="38">
        <v>46217</v>
      </c>
      <c r="G5" s="38">
        <v>46217</v>
      </c>
      <c r="H5" s="5">
        <f t="shared" ref="H5:H22" si="0">IF(OR(F5="",G5=""),"",G5-F5+1)</f>
        <v>1</v>
      </c>
      <c r="I5" s="5"/>
      <c r="J5" s="5"/>
      <c r="K5" s="39"/>
      <c r="L5" s="3"/>
      <c r="M5" s="3"/>
    </row>
    <row r="6" spans="2:13" ht="30" customHeight="1">
      <c r="B6" s="5">
        <v>2</v>
      </c>
      <c r="C6" s="5" t="s">
        <v>58</v>
      </c>
      <c r="D6" s="2" t="s">
        <v>263</v>
      </c>
      <c r="E6" s="5" t="s">
        <v>262</v>
      </c>
      <c r="F6" s="38">
        <v>46217</v>
      </c>
      <c r="G6" s="38">
        <v>46217</v>
      </c>
      <c r="H6" s="5">
        <f t="shared" si="0"/>
        <v>1</v>
      </c>
      <c r="I6" s="5"/>
      <c r="J6" s="5"/>
      <c r="K6" s="39"/>
      <c r="L6" s="3"/>
      <c r="M6" s="3"/>
    </row>
    <row r="7" spans="2:13" ht="39.75" customHeight="1">
      <c r="B7" s="5">
        <v>3</v>
      </c>
      <c r="C7" s="5" t="s">
        <v>59</v>
      </c>
      <c r="D7" s="2" t="s">
        <v>264</v>
      </c>
      <c r="E7" s="5" t="s">
        <v>265</v>
      </c>
      <c r="F7" s="38">
        <v>46217</v>
      </c>
      <c r="G7" s="38">
        <v>46217</v>
      </c>
      <c r="H7" s="5">
        <f t="shared" si="0"/>
        <v>1</v>
      </c>
      <c r="I7" s="5"/>
      <c r="J7" s="5"/>
      <c r="K7" s="39"/>
      <c r="L7" s="3"/>
      <c r="M7" s="3"/>
    </row>
    <row r="8" spans="2:13" ht="30" customHeight="1">
      <c r="B8" s="5">
        <v>4</v>
      </c>
      <c r="C8" s="5" t="s">
        <v>59</v>
      </c>
      <c r="D8" s="2" t="s">
        <v>266</v>
      </c>
      <c r="E8" s="5" t="s">
        <v>267</v>
      </c>
      <c r="F8" s="38">
        <v>46217</v>
      </c>
      <c r="G8" s="38">
        <v>46217</v>
      </c>
      <c r="H8" s="5">
        <f t="shared" si="0"/>
        <v>1</v>
      </c>
      <c r="I8" s="5"/>
      <c r="J8" s="5"/>
      <c r="K8" s="39"/>
      <c r="L8" s="3"/>
      <c r="M8" s="3"/>
    </row>
    <row r="9" spans="2:13" ht="30" customHeight="1">
      <c r="B9" s="5">
        <v>5</v>
      </c>
      <c r="C9" s="5" t="s">
        <v>59</v>
      </c>
      <c r="D9" s="2" t="s">
        <v>268</v>
      </c>
      <c r="E9" s="5" t="s">
        <v>267</v>
      </c>
      <c r="F9" s="38">
        <v>46217</v>
      </c>
      <c r="G9" s="38">
        <v>46217</v>
      </c>
      <c r="H9" s="5">
        <f t="shared" si="0"/>
        <v>1</v>
      </c>
      <c r="I9" s="5"/>
      <c r="J9" s="5"/>
      <c r="K9" s="39"/>
      <c r="L9" s="3"/>
      <c r="M9" s="3"/>
    </row>
    <row r="10" spans="2:13" ht="30" customHeight="1">
      <c r="B10" s="5">
        <v>6</v>
      </c>
      <c r="C10" s="5" t="s">
        <v>60</v>
      </c>
      <c r="D10" s="2" t="s">
        <v>269</v>
      </c>
      <c r="E10" s="5" t="s">
        <v>270</v>
      </c>
      <c r="F10" s="38">
        <v>46217</v>
      </c>
      <c r="G10" s="38">
        <v>46217</v>
      </c>
      <c r="H10" s="5">
        <f t="shared" si="0"/>
        <v>1</v>
      </c>
      <c r="I10" s="5"/>
      <c r="J10" s="5"/>
      <c r="K10" s="39"/>
      <c r="L10" s="3"/>
      <c r="M10" s="3"/>
    </row>
    <row r="11" spans="2:13" ht="30" customHeight="1">
      <c r="B11" s="5">
        <v>8</v>
      </c>
      <c r="C11" s="5" t="s">
        <v>60</v>
      </c>
      <c r="D11" s="2" t="s">
        <v>271</v>
      </c>
      <c r="E11" s="5" t="s">
        <v>267</v>
      </c>
      <c r="F11" s="38">
        <v>46218</v>
      </c>
      <c r="G11" s="38">
        <v>46218</v>
      </c>
      <c r="H11" s="5">
        <f t="shared" si="0"/>
        <v>1</v>
      </c>
      <c r="I11" s="5"/>
      <c r="J11" s="5"/>
      <c r="K11" s="3"/>
      <c r="L11" s="3"/>
      <c r="M11" s="3"/>
    </row>
    <row r="12" spans="2:13" ht="30" customHeight="1">
      <c r="B12" s="5">
        <v>9</v>
      </c>
      <c r="C12" s="5" t="s">
        <v>60</v>
      </c>
      <c r="D12" s="2" t="s">
        <v>272</v>
      </c>
      <c r="E12" s="5" t="s">
        <v>265</v>
      </c>
      <c r="F12" s="38">
        <v>46218</v>
      </c>
      <c r="G12" s="38">
        <v>46218</v>
      </c>
      <c r="H12" s="5">
        <f t="shared" si="0"/>
        <v>1</v>
      </c>
      <c r="I12" s="5"/>
      <c r="J12" s="5"/>
      <c r="K12" s="3"/>
      <c r="L12" s="3"/>
      <c r="M12" s="3"/>
    </row>
    <row r="13" spans="2:13" ht="30" customHeight="1">
      <c r="B13" s="5">
        <v>10</v>
      </c>
      <c r="C13" s="5" t="s">
        <v>60</v>
      </c>
      <c r="D13" s="15" t="s">
        <v>283</v>
      </c>
      <c r="E13" s="5" t="s">
        <v>282</v>
      </c>
      <c r="F13" s="38">
        <v>46218</v>
      </c>
      <c r="G13" s="38">
        <v>46218</v>
      </c>
      <c r="H13" s="5">
        <f t="shared" si="0"/>
        <v>1</v>
      </c>
      <c r="I13" s="5"/>
      <c r="J13" s="5"/>
      <c r="K13" s="3"/>
      <c r="L13" s="3"/>
      <c r="M13" s="3"/>
    </row>
    <row r="14" spans="2:13" s="28" customFormat="1" ht="30" customHeight="1">
      <c r="B14" s="5">
        <v>11</v>
      </c>
      <c r="C14" s="5" t="s">
        <v>60</v>
      </c>
      <c r="D14" s="36" t="s">
        <v>284</v>
      </c>
      <c r="E14" s="5" t="s">
        <v>285</v>
      </c>
      <c r="F14" s="38">
        <v>46218</v>
      </c>
      <c r="G14" s="38">
        <v>46218</v>
      </c>
      <c r="H14" s="5">
        <f t="shared" si="0"/>
        <v>1</v>
      </c>
      <c r="I14" s="5"/>
      <c r="J14" s="5"/>
      <c r="K14" s="3"/>
      <c r="L14" s="3"/>
      <c r="M14" s="3"/>
    </row>
    <row r="15" spans="2:13" ht="30" customHeight="1">
      <c r="B15" s="5">
        <v>12</v>
      </c>
      <c r="C15" s="5" t="s">
        <v>60</v>
      </c>
      <c r="D15" s="2" t="s">
        <v>273</v>
      </c>
      <c r="E15" s="5" t="s">
        <v>270</v>
      </c>
      <c r="F15" s="38">
        <v>46218</v>
      </c>
      <c r="G15" s="38">
        <v>46218</v>
      </c>
      <c r="H15" s="5">
        <f t="shared" si="0"/>
        <v>1</v>
      </c>
      <c r="I15" s="5"/>
      <c r="J15" s="5"/>
      <c r="K15" s="3"/>
      <c r="L15" s="3"/>
      <c r="M15" s="3"/>
    </row>
    <row r="16" spans="2:13" ht="30" customHeight="1">
      <c r="B16" s="5">
        <v>13</v>
      </c>
      <c r="C16" s="5" t="s">
        <v>60</v>
      </c>
      <c r="D16" s="2" t="s">
        <v>281</v>
      </c>
      <c r="E16" s="5" t="s">
        <v>270</v>
      </c>
      <c r="F16" s="38">
        <v>46218</v>
      </c>
      <c r="G16" s="38">
        <v>46218</v>
      </c>
      <c r="H16" s="5">
        <f t="shared" si="0"/>
        <v>1</v>
      </c>
      <c r="I16" s="5"/>
      <c r="J16" s="5"/>
      <c r="K16" s="3"/>
      <c r="L16" s="3"/>
      <c r="M16" s="3"/>
    </row>
    <row r="17" spans="2:13" ht="30" customHeight="1">
      <c r="B17" s="5">
        <v>14</v>
      </c>
      <c r="C17" s="5" t="s">
        <v>62</v>
      </c>
      <c r="D17" s="2" t="s">
        <v>274</v>
      </c>
      <c r="E17" s="5" t="s">
        <v>262</v>
      </c>
      <c r="F17" s="38">
        <v>46219</v>
      </c>
      <c r="G17" s="38">
        <v>46219</v>
      </c>
      <c r="H17" s="5">
        <f t="shared" si="0"/>
        <v>1</v>
      </c>
      <c r="I17" s="5"/>
      <c r="J17" s="5"/>
      <c r="K17" s="3"/>
      <c r="L17" s="3"/>
      <c r="M17" s="3"/>
    </row>
    <row r="18" spans="2:13" s="28" customFormat="1" ht="30" customHeight="1">
      <c r="B18" s="5">
        <v>15</v>
      </c>
      <c r="C18" s="5" t="s">
        <v>62</v>
      </c>
      <c r="D18" s="2" t="s">
        <v>275</v>
      </c>
      <c r="E18" s="5" t="s">
        <v>270</v>
      </c>
      <c r="F18" s="38">
        <v>46219</v>
      </c>
      <c r="G18" s="38">
        <v>46219</v>
      </c>
      <c r="H18" s="5">
        <f t="shared" si="0"/>
        <v>1</v>
      </c>
      <c r="I18" s="5"/>
      <c r="J18" s="5"/>
      <c r="K18" s="3"/>
      <c r="L18" s="3"/>
      <c r="M18" s="3"/>
    </row>
    <row r="19" spans="2:13" s="28" customFormat="1" ht="30" customHeight="1">
      <c r="B19" s="5">
        <v>16</v>
      </c>
      <c r="C19" s="5" t="s">
        <v>61</v>
      </c>
      <c r="D19" s="2" t="s">
        <v>276</v>
      </c>
      <c r="E19" s="5" t="s">
        <v>267</v>
      </c>
      <c r="F19" s="38">
        <v>46219</v>
      </c>
      <c r="G19" s="38">
        <v>46219</v>
      </c>
      <c r="H19" s="5">
        <f t="shared" si="0"/>
        <v>1</v>
      </c>
      <c r="I19" s="5"/>
      <c r="J19" s="5"/>
      <c r="K19" s="3"/>
      <c r="L19" s="3"/>
      <c r="M19" s="3"/>
    </row>
    <row r="20" spans="2:13" s="28" customFormat="1" ht="30" customHeight="1">
      <c r="B20" s="5">
        <v>17</v>
      </c>
      <c r="C20" s="5" t="s">
        <v>61</v>
      </c>
      <c r="D20" s="2" t="s">
        <v>277</v>
      </c>
      <c r="E20" s="5" t="s">
        <v>262</v>
      </c>
      <c r="F20" s="38">
        <v>46219</v>
      </c>
      <c r="G20" s="38">
        <v>46219</v>
      </c>
      <c r="H20" s="5">
        <f t="shared" si="0"/>
        <v>1</v>
      </c>
      <c r="I20" s="5"/>
      <c r="J20" s="5"/>
      <c r="K20" s="3"/>
      <c r="L20" s="3"/>
      <c r="M20" s="3"/>
    </row>
    <row r="21" spans="2:13" s="28" customFormat="1" ht="30" customHeight="1">
      <c r="B21" s="5">
        <v>18</v>
      </c>
      <c r="C21" s="5" t="s">
        <v>63</v>
      </c>
      <c r="D21" s="2" t="s">
        <v>278</v>
      </c>
      <c r="E21" s="5" t="s">
        <v>267</v>
      </c>
      <c r="F21" s="38">
        <v>46219</v>
      </c>
      <c r="G21" s="38">
        <v>46219</v>
      </c>
      <c r="H21" s="5">
        <f t="shared" si="0"/>
        <v>1</v>
      </c>
      <c r="I21" s="5"/>
      <c r="J21" s="5"/>
      <c r="K21" s="3"/>
      <c r="L21" s="3"/>
      <c r="M21" s="3"/>
    </row>
    <row r="22" spans="2:13" s="28" customFormat="1" ht="30" customHeight="1">
      <c r="B22" s="5">
        <v>19</v>
      </c>
      <c r="C22" s="5" t="s">
        <v>64</v>
      </c>
      <c r="D22" s="2" t="s">
        <v>279</v>
      </c>
      <c r="E22" s="5" t="s">
        <v>262</v>
      </c>
      <c r="F22" s="38">
        <v>46219</v>
      </c>
      <c r="G22" s="38">
        <v>46219</v>
      </c>
      <c r="H22" s="5">
        <f t="shared" si="0"/>
        <v>1</v>
      </c>
      <c r="I22" s="5"/>
      <c r="J22" s="5"/>
      <c r="K22" s="3"/>
      <c r="L22" s="3"/>
      <c r="M22" s="3"/>
    </row>
    <row r="23" spans="2:13" s="28" customFormat="1" ht="30" customHeight="1">
      <c r="B23" s="5">
        <v>20</v>
      </c>
      <c r="C23" s="5" t="s">
        <v>64</v>
      </c>
      <c r="D23" s="2" t="s">
        <v>280</v>
      </c>
      <c r="E23" s="5" t="s">
        <v>262</v>
      </c>
      <c r="F23" s="38">
        <v>46219</v>
      </c>
      <c r="G23" s="38">
        <v>46219.625</v>
      </c>
      <c r="H23" s="5">
        <v>1</v>
      </c>
      <c r="I23" s="5"/>
      <c r="J23" s="5"/>
      <c r="K23" s="3"/>
      <c r="L23" s="3"/>
      <c r="M23" s="3"/>
    </row>
    <row r="25" spans="2:13" ht="15" customHeight="1">
      <c r="B25" s="85" t="s">
        <v>136</v>
      </c>
      <c r="C25" s="86"/>
    </row>
    <row r="26" spans="2:13" ht="15" customHeight="1">
      <c r="B26" s="87" t="s">
        <v>58</v>
      </c>
      <c r="C26" s="88"/>
    </row>
    <row r="27" spans="2:13" ht="15" customHeight="1">
      <c r="B27" s="89" t="s">
        <v>59</v>
      </c>
      <c r="C27" s="90"/>
    </row>
    <row r="28" spans="2:13" ht="15" customHeight="1">
      <c r="B28" s="73" t="s">
        <v>60</v>
      </c>
      <c r="C28" s="74"/>
    </row>
    <row r="29" spans="2:13" ht="15" customHeight="1">
      <c r="B29" s="75" t="s">
        <v>61</v>
      </c>
      <c r="C29" s="76"/>
    </row>
    <row r="30" spans="2:13" ht="15" customHeight="1">
      <c r="B30" s="77" t="s">
        <v>62</v>
      </c>
      <c r="C30" s="78"/>
    </row>
    <row r="31" spans="2:13" ht="15" customHeight="1">
      <c r="B31" s="79" t="s">
        <v>63</v>
      </c>
      <c r="C31" s="80"/>
    </row>
    <row r="32" spans="2:13" ht="15" customHeight="1">
      <c r="B32" s="81" t="s">
        <v>64</v>
      </c>
      <c r="C32" s="82"/>
    </row>
    <row r="33" spans="2:3" ht="15" customHeight="1">
      <c r="B33" s="71" t="s">
        <v>65</v>
      </c>
      <c r="C33" s="72"/>
    </row>
  </sheetData>
  <mergeCells count="11">
    <mergeCell ref="B3:M3"/>
    <mergeCell ref="B2:M2"/>
    <mergeCell ref="B25:C25"/>
    <mergeCell ref="B26:C26"/>
    <mergeCell ref="B27:C27"/>
    <mergeCell ref="B33:C33"/>
    <mergeCell ref="B28:C28"/>
    <mergeCell ref="B29:C29"/>
    <mergeCell ref="B30:C30"/>
    <mergeCell ref="B31:C31"/>
    <mergeCell ref="B32:C32"/>
  </mergeCells>
  <phoneticPr fontId="17" type="noConversion"/>
  <conditionalFormatting sqref="K5:M23">
    <cfRule type="expression" dxfId="0" priority="2">
      <formula>AND(K$4&gt;=$F5,K$4&lt;=$G5)</formula>
    </cfRule>
  </conditionalFormatting>
  <dataValidations count="2">
    <dataValidation type="list" allowBlank="1" sqref="C5:C23" xr:uid="{00000000-0002-0000-0500-000000000000}">
      <formula1>"기획,설계,개발,배포,테스트,문서화,발표준비"</formula1>
      <formula2>0</formula2>
    </dataValidation>
    <dataValidation type="list" allowBlank="1" sqref="J5:J23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1" t="s">
        <v>66</v>
      </c>
      <c r="C2" s="52"/>
    </row>
    <row r="3" spans="2:3" ht="19.5" customHeight="1">
      <c r="B3" s="57" t="s">
        <v>67</v>
      </c>
      <c r="C3" s="43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2026-07-14T09:00:14Z</dcterms:modified>
  <dc:language>en-US</dc:language>
</cp:coreProperties>
</file>